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izing" sheetId="1" state="visible" r:id="rId1"/>
    <sheet xmlns:r="http://schemas.openxmlformats.org/officeDocument/2006/relationships" name="Riskiest Assumption" sheetId="2" state="visible" r:id="rId2"/>
    <sheet xmlns:r="http://schemas.openxmlformats.org/officeDocument/2006/relationships" name="Startup Metrics" sheetId="3" state="visible" r:id="rId3"/>
    <sheet xmlns:r="http://schemas.openxmlformats.org/officeDocument/2006/relationships" name="Sizing the Raise" sheetId="4" state="visible" r:id="rId4"/>
    <sheet xmlns:r="http://schemas.openxmlformats.org/officeDocument/2006/relationships" name="Investor Readiness" sheetId="5" state="visible" r:id="rId5"/>
    <sheet xmlns:r="http://schemas.openxmlformats.org/officeDocument/2006/relationships" name="Spending Gates" sheetId="6" state="visible" r:id="rId6"/>
    <sheet xmlns:r="http://schemas.openxmlformats.org/officeDocument/2006/relationships" name="Pivot Trigg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%"/>
    <numFmt numFmtId="167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8F0FE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2" borderId="1" pivotButton="0" quotePrefix="0" xfId="0"/>
    <xf numFmtId="164" fontId="0" fillId="2" borderId="1" pivotButton="0" quotePrefix="0" xfId="0"/>
    <xf numFmtId="164" fontId="0" fillId="3" borderId="1" pivotButton="0" quotePrefix="0" xfId="0"/>
    <xf numFmtId="0" fontId="4" fillId="4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165" fontId="0" fillId="2" borderId="1" pivotButton="0" quotePrefix="0" xfId="0"/>
    <xf numFmtId="166" fontId="0" fillId="2" borderId="1" pivotButton="0" quotePrefix="0" xfId="0"/>
    <xf numFmtId="2" fontId="0" fillId="3" borderId="1" pivotButton="0" quotePrefix="0" xfId="0"/>
    <xf numFmtId="167" fontId="0" fillId="3" borderId="1" pivotButton="0" quotePrefix="0" xfId="0"/>
    <xf numFmtId="166" fontId="0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Market Sizing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Possible customers (TAM count)</t>
        </is>
      </c>
      <c r="B5" s="4" t="n">
        <v>200000</v>
      </c>
    </row>
    <row r="6">
      <c r="A6" t="inlineStr">
        <is>
          <t>Spend per customer per year</t>
        </is>
      </c>
      <c r="B6" s="5" t="n">
        <v>360</v>
      </c>
    </row>
    <row r="7">
      <c r="A7" t="inlineStr">
        <is>
          <t>Reachable customers (SAM count)</t>
        </is>
      </c>
      <c r="B7" s="4" t="n">
        <v>60000</v>
      </c>
    </row>
    <row r="8">
      <c r="A8" t="inlineStr">
        <is>
          <t>Customers you can win in 2 years (SOM count)</t>
        </is>
      </c>
      <c r="B8" s="4" t="n">
        <v>2000</v>
      </c>
    </row>
    <row r="10">
      <c r="A10" s="3" t="inlineStr">
        <is>
          <t>Results</t>
        </is>
      </c>
    </row>
    <row r="11">
      <c r="A11" t="inlineStr">
        <is>
          <t>TAM</t>
        </is>
      </c>
      <c r="B11" s="6">
        <f>B5*B6</f>
        <v/>
      </c>
    </row>
    <row r="12">
      <c r="A12" t="inlineStr">
        <is>
          <t>SAM</t>
        </is>
      </c>
      <c r="B12" s="6">
        <f>B7*B6</f>
        <v/>
      </c>
    </row>
    <row r="13">
      <c r="A13" t="inlineStr">
        <is>
          <t>SOM</t>
        </is>
      </c>
      <c r="B13" s="6">
        <f>B8*B6</f>
        <v/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Riskiest Assumption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List every assumption. Score 1 to 5. Highest score goes first.</t>
        </is>
      </c>
    </row>
    <row r="6">
      <c r="A6" s="7" t="inlineStr">
        <is>
          <t>Assumption</t>
        </is>
      </c>
      <c r="B6" s="7" t="inlineStr">
        <is>
          <t>Likely wrong (1-5)</t>
        </is>
      </c>
      <c r="C6" s="7" t="inlineStr">
        <is>
          <t>Damage if wrong (1-5)</t>
        </is>
      </c>
      <c r="D6" s="7" t="inlineStr">
        <is>
          <t>Score</t>
        </is>
      </c>
      <c r="E6" s="7" t="inlineStr">
        <is>
          <t>Experiment</t>
        </is>
      </c>
      <c r="F6" s="7" t="inlineStr">
        <is>
          <t>Pass mark</t>
        </is>
      </c>
    </row>
    <row r="7">
      <c r="A7" s="8" t="inlineStr">
        <is>
          <t>Assumption 1</t>
        </is>
      </c>
      <c r="B7" s="8" t="n">
        <v>3</v>
      </c>
      <c r="C7" s="8" t="n">
        <v>3</v>
      </c>
      <c r="D7" s="9">
        <f>B7*C7</f>
        <v/>
      </c>
      <c r="E7" s="10" t="inlineStr"/>
      <c r="F7" s="10" t="inlineStr"/>
    </row>
    <row r="8">
      <c r="A8" s="8" t="inlineStr">
        <is>
          <t>Assumption 2</t>
        </is>
      </c>
      <c r="B8" s="8" t="n">
        <v>3</v>
      </c>
      <c r="C8" s="8" t="n">
        <v>3</v>
      </c>
      <c r="D8" s="9">
        <f>B8*C8</f>
        <v/>
      </c>
      <c r="E8" s="10" t="inlineStr"/>
      <c r="F8" s="10" t="inlineStr"/>
    </row>
    <row r="9">
      <c r="A9" s="8" t="inlineStr">
        <is>
          <t>Assumption 3</t>
        </is>
      </c>
      <c r="B9" s="8" t="n">
        <v>3</v>
      </c>
      <c r="C9" s="8" t="n">
        <v>3</v>
      </c>
      <c r="D9" s="9">
        <f>B9*C9</f>
        <v/>
      </c>
      <c r="E9" s="10" t="inlineStr"/>
      <c r="F9" s="10" t="inlineStr"/>
    </row>
    <row r="10">
      <c r="A10" s="8" t="inlineStr">
        <is>
          <t>Assumption 4</t>
        </is>
      </c>
      <c r="B10" s="8" t="n">
        <v>3</v>
      </c>
      <c r="C10" s="8" t="n">
        <v>3</v>
      </c>
      <c r="D10" s="9">
        <f>B10*C10</f>
        <v/>
      </c>
      <c r="E10" s="10" t="inlineStr"/>
      <c r="F10" s="10" t="inlineStr"/>
    </row>
    <row r="11">
      <c r="A11" s="8" t="inlineStr">
        <is>
          <t>Assumption 5</t>
        </is>
      </c>
      <c r="B11" s="8" t="n">
        <v>3</v>
      </c>
      <c r="C11" s="8" t="n">
        <v>3</v>
      </c>
      <c r="D11" s="9">
        <f>B11*C11</f>
        <v/>
      </c>
      <c r="E11" s="10" t="inlineStr"/>
      <c r="F11" s="10" t="inlineStr"/>
    </row>
    <row r="12">
      <c r="A12" s="8" t="inlineStr">
        <is>
          <t>Assumption 6</t>
        </is>
      </c>
      <c r="B12" s="8" t="n">
        <v>3</v>
      </c>
      <c r="C12" s="8" t="n">
        <v>3</v>
      </c>
      <c r="D12" s="9">
        <f>B12*C12</f>
        <v/>
      </c>
      <c r="E12" s="10" t="inlineStr"/>
      <c r="F12" s="10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Startup Metrics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Monthly price per customer</t>
        </is>
      </c>
      <c r="B5" s="11" t="n">
        <v>30</v>
      </c>
    </row>
    <row r="6">
      <c r="A6" t="inlineStr">
        <is>
          <t>Gross margin (0-1)</t>
        </is>
      </c>
      <c r="B6" s="12" t="n">
        <v>0.8</v>
      </c>
    </row>
    <row r="7">
      <c r="A7" t="inlineStr">
        <is>
          <t>Monthly churn (0-1)</t>
        </is>
      </c>
      <c r="B7" s="12" t="n">
        <v>0.03</v>
      </c>
    </row>
    <row r="8">
      <c r="A8" t="inlineStr">
        <is>
          <t>Sales and marketing spend per month</t>
        </is>
      </c>
      <c r="B8" s="5" t="n">
        <v>30000</v>
      </c>
    </row>
    <row r="9">
      <c r="A9" t="inlineStr">
        <is>
          <t>New customers per month</t>
        </is>
      </c>
      <c r="B9" s="4" t="n">
        <v>150</v>
      </c>
    </row>
    <row r="10">
      <c r="A10" t="inlineStr">
        <is>
          <t>Cash in the bank</t>
        </is>
      </c>
      <c r="B10" s="5" t="n">
        <v>900000</v>
      </c>
    </row>
    <row r="11">
      <c r="A11" t="inlineStr">
        <is>
          <t>Cash in per month</t>
        </is>
      </c>
      <c r="B11" s="5" t="n">
        <v>36000</v>
      </c>
    </row>
    <row r="12">
      <c r="A12" t="inlineStr">
        <is>
          <t>Cash out per month</t>
        </is>
      </c>
      <c r="B12" s="5" t="n">
        <v>96000</v>
      </c>
    </row>
    <row r="13">
      <c r="A13" t="inlineStr">
        <is>
          <t>MRR (monthly recurring revenue)</t>
        </is>
      </c>
      <c r="B13" s="5" t="n">
        <v>36000</v>
      </c>
    </row>
    <row r="15">
      <c r="A15" s="3" t="inlineStr">
        <is>
          <t>Results</t>
        </is>
      </c>
    </row>
    <row r="16">
      <c r="A16" t="inlineStr">
        <is>
          <t>CAC</t>
        </is>
      </c>
      <c r="B16" s="6">
        <f>B8/B9</f>
        <v/>
      </c>
    </row>
    <row r="17">
      <c r="A17" t="inlineStr">
        <is>
          <t>LTV</t>
        </is>
      </c>
      <c r="B17" s="6">
        <f>(B5*B6)/B7</f>
        <v/>
      </c>
    </row>
    <row r="18">
      <c r="A18" t="inlineStr">
        <is>
          <t>LTV ÷ CAC</t>
        </is>
      </c>
      <c r="B18" s="13">
        <f>B17/B16</f>
        <v/>
      </c>
      <c r="C18" s="2" t="inlineStr">
        <is>
          <t>3 or more is the usual benchmark</t>
        </is>
      </c>
    </row>
    <row r="19">
      <c r="A19" t="inlineStr">
        <is>
          <t>CAC payback (months)</t>
        </is>
      </c>
      <c r="B19" s="14">
        <f>B16/(B5*B6)</f>
        <v/>
      </c>
      <c r="C19" s="2" t="inlineStr">
        <is>
          <t>under 12 strong, under 18 acceptable</t>
        </is>
      </c>
    </row>
    <row r="20">
      <c r="A20" t="inlineStr">
        <is>
          <t>Net burn per month</t>
        </is>
      </c>
      <c r="B20" s="6">
        <f>B12-B11</f>
        <v/>
      </c>
    </row>
    <row r="21">
      <c r="A21" t="inlineStr">
        <is>
          <t>Runway (months)</t>
        </is>
      </c>
      <c r="B21" s="14">
        <f>B10/B20</f>
        <v/>
      </c>
    </row>
    <row r="22">
      <c r="A22" t="inlineStr">
        <is>
          <t>ARR</t>
        </is>
      </c>
      <c r="B22" s="6">
        <f>B13*12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Sizing the Raise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Monthly net burn (with new hires)</t>
        </is>
      </c>
      <c r="B5" s="5" t="n">
        <v>105000</v>
      </c>
    </row>
    <row r="6">
      <c r="A6" t="inlineStr">
        <is>
          <t>Months to next milestone</t>
        </is>
      </c>
      <c r="B6" s="4" t="n">
        <v>14</v>
      </c>
    </row>
    <row r="7">
      <c r="A7" t="inlineStr">
        <is>
          <t>Buffer months</t>
        </is>
      </c>
      <c r="B7" s="4" t="n">
        <v>6</v>
      </c>
    </row>
    <row r="8">
      <c r="A8" t="inlineStr">
        <is>
          <t>Cash in the bank</t>
        </is>
      </c>
      <c r="B8" s="5" t="n">
        <v>900000</v>
      </c>
    </row>
    <row r="9">
      <c r="A9" t="inlineStr">
        <is>
          <t>Post-money valuation (or SAFE cap)</t>
        </is>
      </c>
      <c r="B9" s="5" t="n">
        <v>6000000</v>
      </c>
    </row>
    <row r="11">
      <c r="A11" s="3" t="inlineStr">
        <is>
          <t>Results</t>
        </is>
      </c>
    </row>
    <row r="12">
      <c r="A12" t="inlineStr">
        <is>
          <t>Raise</t>
        </is>
      </c>
      <c r="B12" s="6">
        <f>B5*(B6+B7)-B8</f>
        <v/>
      </c>
    </row>
    <row r="13">
      <c r="A13" t="inlineStr">
        <is>
          <t>Dilution</t>
        </is>
      </c>
      <c r="B13" s="15">
        <f>B12/B9</f>
        <v/>
      </c>
      <c r="C13" s="2" t="inlineStr">
        <is>
          <t>15% to 25% is typical for an early round</t>
        </is>
      </c>
    </row>
    <row r="14">
      <c r="A14" t="inlineStr">
        <is>
          <t>Founders keep</t>
        </is>
      </c>
      <c r="B14" s="15">
        <f>1-B13</f>
        <v/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Investor Readiness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Score each area out of 10. Anything below 5 needs fixing before you pitch.</t>
        </is>
      </c>
    </row>
    <row r="6">
      <c r="A6" s="7" t="inlineStr">
        <is>
          <t>Area</t>
        </is>
      </c>
      <c r="B6" s="7" t="inlineStr">
        <is>
          <t>Score (0-10)</t>
        </is>
      </c>
      <c r="C6" s="7" t="inlineStr">
        <is>
          <t>What would raise it</t>
        </is>
      </c>
    </row>
    <row r="7">
      <c r="A7" s="8" t="inlineStr">
        <is>
          <t>Value proposition</t>
        </is>
      </c>
      <c r="B7" s="8" t="n">
        <v>5</v>
      </c>
      <c r="C7" s="10" t="inlineStr"/>
    </row>
    <row r="8">
      <c r="A8" s="8" t="inlineStr">
        <is>
          <t>Market</t>
        </is>
      </c>
      <c r="B8" s="8" t="n">
        <v>5</v>
      </c>
      <c r="C8" s="10" t="inlineStr"/>
    </row>
    <row r="9">
      <c r="A9" s="8" t="inlineStr">
        <is>
          <t>Go-to-market</t>
        </is>
      </c>
      <c r="B9" s="8" t="n">
        <v>5</v>
      </c>
      <c r="C9" s="10" t="inlineStr"/>
    </row>
    <row r="10">
      <c r="A10" s="8" t="inlineStr">
        <is>
          <t>Operations</t>
        </is>
      </c>
      <c r="B10" s="8" t="n">
        <v>5</v>
      </c>
      <c r="C10" s="10" t="inlineStr"/>
    </row>
    <row r="11">
      <c r="A11" s="8" t="inlineStr">
        <is>
          <t>Team</t>
        </is>
      </c>
      <c r="B11" s="8" t="n">
        <v>5</v>
      </c>
      <c r="C11" s="10" t="inlineStr"/>
    </row>
    <row r="12">
      <c r="A12" s="8" t="inlineStr">
        <is>
          <t>Financials</t>
        </is>
      </c>
      <c r="B12" s="8" t="n">
        <v>5</v>
      </c>
      <c r="C12" s="10" t="inlineStr"/>
    </row>
    <row r="13">
      <c r="A13" s="8" t="inlineStr">
        <is>
          <t>Risks</t>
        </is>
      </c>
      <c r="B13" s="8" t="n">
        <v>5</v>
      </c>
      <c r="C13" s="10" t="inlineStr"/>
    </row>
    <row r="14">
      <c r="A14" s="8" t="inlineStr">
        <is>
          <t>Milestones</t>
        </is>
      </c>
      <c r="B14" s="8" t="n">
        <v>5</v>
      </c>
      <c r="C14" s="10" t="inlineStr"/>
    </row>
    <row r="15">
      <c r="A15" s="8" t="inlineStr">
        <is>
          <t>Exit</t>
        </is>
      </c>
      <c r="B15" s="8" t="n">
        <v>5</v>
      </c>
      <c r="C15" s="10" t="inlineStr"/>
    </row>
    <row r="17">
      <c r="A17" t="inlineStr">
        <is>
          <t>Lowest score</t>
        </is>
      </c>
      <c r="B17" s="16">
        <f>MIN(B7:B15)</f>
        <v/>
      </c>
    </row>
    <row r="18">
      <c r="A18" t="inlineStr">
        <is>
          <t>Investor's biggest objection (one sentence)</t>
        </is>
      </c>
    </row>
    <row r="19">
      <c r="A19" t="inlineStr">
        <is>
          <t>Your answer (two sentences)</t>
        </is>
      </c>
    </row>
    <row r="20">
      <c r="A20" t="inlineStr">
        <is>
          <t>Ready to pitch? Yes, or fix the lowest score first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Spending Gates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One row per stage.</t>
        </is>
      </c>
    </row>
    <row r="6">
      <c r="A6" s="7" t="inlineStr">
        <is>
          <t>Stage</t>
        </is>
      </c>
      <c r="B6" s="7" t="inlineStr">
        <is>
          <t>Money released</t>
        </is>
      </c>
      <c r="C6" s="7" t="inlineStr">
        <is>
          <t>Milestone that releases the next gate</t>
        </is>
      </c>
      <c r="D6" s="7" t="inlineStr">
        <is>
          <t>Date to check</t>
        </is>
      </c>
      <c r="E6" s="7" t="inlineStr">
        <is>
          <t>Number that counts as success</t>
        </is>
      </c>
      <c r="F6" s="7" t="inlineStr">
        <is>
          <t>Rule for a miss</t>
        </is>
      </c>
    </row>
    <row r="7">
      <c r="A7" s="8" t="inlineStr">
        <is>
          <t>Stage 1</t>
        </is>
      </c>
      <c r="B7" s="10" t="inlineStr"/>
      <c r="C7" s="10" t="inlineStr"/>
      <c r="D7" s="10" t="inlineStr"/>
      <c r="E7" s="10" t="inlineStr"/>
      <c r="F7" s="10" t="inlineStr"/>
    </row>
    <row r="8">
      <c r="A8" s="8" t="inlineStr">
        <is>
          <t>Stage 2</t>
        </is>
      </c>
      <c r="B8" s="10" t="inlineStr"/>
      <c r="C8" s="10" t="inlineStr"/>
      <c r="D8" s="10" t="inlineStr"/>
      <c r="E8" s="10" t="inlineStr"/>
      <c r="F8" s="10" t="inlineStr"/>
    </row>
    <row r="9">
      <c r="A9" s="8" t="inlineStr">
        <is>
          <t>Stage 3</t>
        </is>
      </c>
      <c r="B9" s="10" t="inlineStr"/>
      <c r="C9" s="10" t="inlineStr"/>
      <c r="D9" s="10" t="inlineStr"/>
      <c r="E9" s="10" t="inlineStr"/>
      <c r="F9" s="10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Pivot Triggers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Decide these before launch.</t>
        </is>
      </c>
    </row>
    <row r="6">
      <c r="A6" s="7" t="inlineStr">
        <is>
          <t>Number to watch</t>
        </is>
      </c>
      <c r="B6" s="7" t="inlineStr">
        <is>
          <t>Date to check</t>
        </is>
      </c>
      <c r="C6" s="7" t="inlineStr">
        <is>
          <t>Level that counts as a miss</t>
        </is>
      </c>
      <c r="D6" s="7" t="inlineStr">
        <is>
          <t>Fallback plan</t>
        </is>
      </c>
    </row>
    <row r="7">
      <c r="A7" s="10" t="inlineStr"/>
      <c r="B7" s="10" t="inlineStr"/>
      <c r="C7" s="10" t="inlineStr"/>
      <c r="D7" s="10" t="inlineStr"/>
    </row>
    <row r="8">
      <c r="A8" s="10" t="inlineStr"/>
      <c r="B8" s="10" t="inlineStr"/>
      <c r="C8" s="10" t="inlineStr"/>
      <c r="D8" s="10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2026-10-24T11:13:41Z</dcterms:created>
  <dcterms:modified xmlns:dcterms="http://purl.org/dc/terms/" xmlns:xsi="http://www.w3.org/2001/XMLSchema-instance" xsi:type="dcterms:W3CDTF">2026-10-24T11:13:41Z</dcterms:modified>
</cp:coreProperties>
</file>