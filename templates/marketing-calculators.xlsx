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Line Extension Math" sheetId="2" state="visible" r:id="rId2"/>
    <sheet xmlns:r="http://schemas.openxmlformats.org/officeDocument/2006/relationships" name="Base vs Incremental" sheetId="3" state="visible" r:id="rId3"/>
    <sheet xmlns:r="http://schemas.openxmlformats.org/officeDocument/2006/relationships" name="Channel Mix" sheetId="4" state="visible" r:id="rId4"/>
    <sheet xmlns:r="http://schemas.openxmlformats.org/officeDocument/2006/relationships" name="Brand Equ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E8F0FE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165" fontId="0" fillId="2" borderId="1" pivotButton="0" quotePrefix="0" xfId="0"/>
    <xf numFmtId="164" fontId="0" fillId="3" borderId="1" pivotButton="0" quotePrefix="0" xfId="0"/>
    <xf numFmtId="166" fontId="0" fillId="3" borderId="1" pivotButton="0" quotePrefix="0" xfId="0"/>
    <xf numFmtId="3" fontId="0" fillId="2" borderId="1" pivotButton="0" quotePrefix="0" xfId="0"/>
    <xf numFmtId="166" fontId="0" fillId="2" borderId="1" pivotButton="0" quotePrefix="0" xfId="0"/>
    <xf numFmtId="3" fontId="0" fillId="3" borderId="1" pivotButton="0" quotePrefix="0" xfId="0"/>
    <xf numFmtId="0" fontId="4" fillId="4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Pricing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Inputs</t>
        </is>
      </c>
    </row>
    <row r="5">
      <c r="A5" t="inlineStr">
        <is>
          <t>Variable cost per unit</t>
        </is>
      </c>
      <c r="B5" s="4" t="n">
        <v>0.28</v>
      </c>
    </row>
    <row r="6">
      <c r="A6" t="inlineStr">
        <is>
          <t>Cost-plus markup (0-1)</t>
        </is>
      </c>
      <c r="B6" s="5" t="n">
        <v>0.4</v>
      </c>
    </row>
    <row r="7">
      <c r="A7" t="inlineStr">
        <is>
          <t>Category leader's price</t>
        </is>
      </c>
      <c r="B7" s="4" t="n">
        <v>0.53</v>
      </c>
    </row>
    <row r="8">
      <c r="A8" t="inlineStr">
        <is>
          <t>Next best alternative's price</t>
        </is>
      </c>
      <c r="B8" s="4" t="n">
        <v>0.6</v>
      </c>
    </row>
    <row r="9">
      <c r="A9" t="inlineStr">
        <is>
          <t>Survey range, low</t>
        </is>
      </c>
      <c r="B9" s="4" t="n">
        <v>0.55</v>
      </c>
    </row>
    <row r="10">
      <c r="A10" t="inlineStr">
        <is>
          <t>Survey range, high</t>
        </is>
      </c>
      <c r="B10" s="4" t="n">
        <v>0.65</v>
      </c>
    </row>
    <row r="12">
      <c r="A12" s="3" t="inlineStr">
        <is>
          <t>Results</t>
        </is>
      </c>
    </row>
    <row r="13">
      <c r="A13" t="inlineStr">
        <is>
          <t>Cost-plus price</t>
        </is>
      </c>
      <c r="B13" s="6">
        <f>B5*(1+B6)</f>
        <v/>
      </c>
    </row>
    <row r="14">
      <c r="A14" t="inlineStr">
        <is>
          <t>Competitor-based price</t>
        </is>
      </c>
      <c r="B14" s="6">
        <f>B7</f>
        <v/>
      </c>
    </row>
    <row r="15">
      <c r="A15" t="inlineStr">
        <is>
          <t>Value-based range</t>
        </is>
      </c>
      <c r="B15" s="7">
        <f>TEXT(B9,"0.00")&amp;" to "&amp;TEXT(B10,"0.00")</f>
        <v/>
      </c>
    </row>
    <row r="16">
      <c r="A16" t="inlineStr">
        <is>
          <t>Your price</t>
        </is>
      </c>
      <c r="B16" s="4" t="n">
        <v>0.58</v>
      </c>
    </row>
    <row r="17">
      <c r="A17" t="inlineStr">
        <is>
          <t>Contribution per unit at your price</t>
        </is>
      </c>
      <c r="B17" s="6">
        <f>B16-B5</f>
        <v/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Line Extension Math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Inputs</t>
        </is>
      </c>
    </row>
    <row r="5">
      <c r="A5" t="inlineStr">
        <is>
          <t>New product units</t>
        </is>
      </c>
      <c r="B5" s="8" t="n">
        <v>2000000</v>
      </c>
    </row>
    <row r="6">
      <c r="A6" t="inlineStr">
        <is>
          <t>Contribution per unit</t>
        </is>
      </c>
      <c r="B6" s="4" t="n">
        <v>0.3</v>
      </c>
    </row>
    <row r="7">
      <c r="A7" t="inlineStr">
        <is>
          <t>Launch marketing</t>
        </is>
      </c>
      <c r="B7" s="9" t="n">
        <v>150000</v>
      </c>
    </row>
    <row r="8">
      <c r="A8" t="inlineStr">
        <is>
          <t>Extra SG&amp;A</t>
        </is>
      </c>
      <c r="B8" s="9" t="n">
        <v>80000</v>
      </c>
    </row>
    <row r="9">
      <c r="A9" t="inlineStr">
        <is>
          <t>Share of new sales taken from existing products (0-1)</t>
        </is>
      </c>
      <c r="B9" s="5" t="n">
        <v>0.3</v>
      </c>
    </row>
    <row r="11">
      <c r="A11" s="3" t="inlineStr">
        <is>
          <t>Results</t>
        </is>
      </c>
    </row>
    <row r="12">
      <c r="A12" t="inlineStr">
        <is>
          <t>New product contribution</t>
        </is>
      </c>
      <c r="B12" s="7">
        <f>B5*B6</f>
        <v/>
      </c>
    </row>
    <row r="13">
      <c r="A13" t="inlineStr">
        <is>
          <t>Cannibalised contribution</t>
        </is>
      </c>
      <c r="B13" s="7">
        <f>B5*B9*B6</f>
        <v/>
      </c>
    </row>
    <row r="14">
      <c r="A14" t="inlineStr">
        <is>
          <t>Incremental contribution</t>
        </is>
      </c>
      <c r="B14" s="7">
        <f>B12-B7-B8-B13</f>
        <v/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Base vs Incremental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Inputs</t>
        </is>
      </c>
    </row>
    <row r="5">
      <c r="A5" t="inlineStr">
        <is>
          <t>Base sales per week (units)</t>
        </is>
      </c>
      <c r="B5" s="8" t="n">
        <v>50000</v>
      </c>
    </row>
    <row r="6">
      <c r="A6" t="inlineStr">
        <is>
          <t>Sales in the promotion week</t>
        </is>
      </c>
      <c r="B6" s="8" t="n">
        <v>80000</v>
      </c>
    </row>
    <row r="7">
      <c r="A7" t="inlineStr">
        <is>
          <t>Contribution per unit at full price</t>
        </is>
      </c>
      <c r="B7" s="4" t="n">
        <v>0.3</v>
      </c>
    </row>
    <row r="8">
      <c r="A8" t="inlineStr">
        <is>
          <t>Discount per unit</t>
        </is>
      </c>
      <c r="B8" s="4" t="n">
        <v>0.2</v>
      </c>
    </row>
    <row r="9">
      <c r="A9" t="inlineStr">
        <is>
          <t>Store fee or other fixed cost</t>
        </is>
      </c>
      <c r="B9" s="9" t="n">
        <v>5000</v>
      </c>
    </row>
    <row r="11">
      <c r="A11" s="3" t="inlineStr">
        <is>
          <t>Results</t>
        </is>
      </c>
    </row>
    <row r="12">
      <c r="A12" t="inlineStr">
        <is>
          <t>Incremental units</t>
        </is>
      </c>
      <c r="B12" s="10">
        <f>B6-B5</f>
        <v/>
      </c>
    </row>
    <row r="13">
      <c r="A13" t="inlineStr">
        <is>
          <t>Incremental contribution</t>
        </is>
      </c>
      <c r="B13" s="7">
        <f>B12*B7</f>
        <v/>
      </c>
    </row>
    <row r="14">
      <c r="A14" t="inlineStr">
        <is>
          <t>Promotion cost</t>
        </is>
      </c>
      <c r="B14" s="7">
        <f>B8*B6+B9</f>
        <v/>
      </c>
    </row>
    <row r="15">
      <c r="A15" t="inlineStr">
        <is>
          <t>Profit from the promotion week</t>
        </is>
      </c>
      <c r="B15" s="7">
        <f>B13-B14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Channel Mix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Inputs</t>
        </is>
      </c>
    </row>
    <row r="5">
      <c r="A5" t="inlineStr">
        <is>
          <t>Total budget</t>
        </is>
      </c>
      <c r="B5" s="9" t="n">
        <v>200000</v>
      </c>
    </row>
    <row r="7">
      <c r="A7" s="11" t="inlineStr">
        <is>
          <t>Channel</t>
        </is>
      </c>
      <c r="B7" s="11" t="inlineStr">
        <is>
          <t>Job</t>
        </is>
      </c>
      <c r="C7" s="11" t="inlineStr">
        <is>
          <t>Share of budget (0-1)</t>
        </is>
      </c>
      <c r="D7" s="11" t="inlineStr">
        <is>
          <t>Budget</t>
        </is>
      </c>
      <c r="E7" s="11" t="inlineStr">
        <is>
          <t>One measure</t>
        </is>
      </c>
    </row>
    <row r="8">
      <c r="A8" s="12" t="inlineStr">
        <is>
          <t>Search</t>
        </is>
      </c>
      <c r="B8" s="12" t="inlineStr">
        <is>
          <t>capture</t>
        </is>
      </c>
      <c r="C8" s="12" t="n">
        <v>0.3</v>
      </c>
      <c r="D8" s="13">
        <f>C8*$B$5</f>
        <v/>
      </c>
      <c r="E8" s="12" t="inlineStr">
        <is>
          <t>cost per first order</t>
        </is>
      </c>
    </row>
    <row r="9">
      <c r="A9" s="12" t="inlineStr">
        <is>
          <t>Video</t>
        </is>
      </c>
      <c r="B9" s="12" t="inlineStr">
        <is>
          <t>awareness</t>
        </is>
      </c>
      <c r="C9" s="12" t="n">
        <v>0.35</v>
      </c>
      <c r="D9" s="13">
        <f>C9*$B$5</f>
        <v/>
      </c>
      <c r="E9" s="12" t="inlineStr">
        <is>
          <t>reach in target</t>
        </is>
      </c>
    </row>
    <row r="10">
      <c r="A10" s="12" t="inlineStr">
        <is>
          <t>Community</t>
        </is>
      </c>
      <c r="B10" s="12" t="inlineStr">
        <is>
          <t>trust</t>
        </is>
      </c>
      <c r="C10" s="12" t="n">
        <v>0.15</v>
      </c>
      <c r="D10" s="13">
        <f>C10*$B$5</f>
        <v/>
      </c>
      <c r="E10" s="12" t="inlineStr">
        <is>
          <t>referred orders</t>
        </is>
      </c>
    </row>
    <row r="11">
      <c r="A11" s="12" t="inlineStr">
        <is>
          <t>Email</t>
        </is>
      </c>
      <c r="B11" s="12" t="inlineStr">
        <is>
          <t>convert</t>
        </is>
      </c>
      <c r="C11" s="12" t="n">
        <v>0.2</v>
      </c>
      <c r="D11" s="13">
        <f>C11*$B$5</f>
        <v/>
      </c>
      <c r="E11" s="12" t="inlineStr">
        <is>
          <t>conversion rate</t>
        </is>
      </c>
    </row>
    <row r="13">
      <c r="B13" t="inlineStr">
        <is>
          <t>Check</t>
        </is>
      </c>
      <c r="C13" s="14">
        <f>SUM(C8:C11)</f>
        <v/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Brand Equity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Measure each layer against the category leader, twice a year.</t>
        </is>
      </c>
    </row>
    <row r="6">
      <c r="A6" s="11" t="inlineStr">
        <is>
          <t>Layer</t>
        </is>
      </c>
      <c r="B6" s="11" t="inlineStr">
        <is>
          <t>Measure</t>
        </is>
      </c>
      <c r="C6" s="11" t="inlineStr">
        <is>
          <t>You</t>
        </is>
      </c>
      <c r="D6" s="11" t="inlineStr">
        <is>
          <t>Leader</t>
        </is>
      </c>
      <c r="E6" s="11" t="inlineStr">
        <is>
          <t>Gap</t>
        </is>
      </c>
    </row>
    <row r="7">
      <c r="A7" s="12" t="inlineStr">
        <is>
          <t>Awareness</t>
        </is>
      </c>
      <c r="B7" s="12" t="inlineStr">
        <is>
          <t>unaided awareness %</t>
        </is>
      </c>
      <c r="C7" s="12" t="n">
        <v>31</v>
      </c>
      <c r="D7" s="12" t="n">
        <v>68</v>
      </c>
      <c r="E7" s="13">
        <f>C7-D7</f>
        <v/>
      </c>
    </row>
    <row r="8">
      <c r="A8" s="12" t="inlineStr">
        <is>
          <t>Associations</t>
        </is>
      </c>
      <c r="B8" s="12" t="inlineStr">
        <is>
          <t>top three words</t>
        </is>
      </c>
      <c r="C8" s="15" t="inlineStr"/>
      <c r="D8" s="15" t="inlineStr"/>
      <c r="E8" s="15" t="inlineStr"/>
    </row>
    <row r="9">
      <c r="A9" s="12" t="inlineStr">
        <is>
          <t>Perceived quality</t>
        </is>
      </c>
      <c r="B9" s="12" t="inlineStr">
        <is>
          <t>price premium held %</t>
        </is>
      </c>
      <c r="C9" s="12" t="n">
        <v>70</v>
      </c>
      <c r="D9" s="12" t="n">
        <v>100</v>
      </c>
      <c r="E9" s="13">
        <f>C9-D9</f>
        <v/>
      </c>
    </row>
    <row r="10">
      <c r="A10" s="12" t="inlineStr">
        <is>
          <t>Loyalty</t>
        </is>
      </c>
      <c r="B10" s="12" t="inlineStr">
        <is>
          <t>repeat purchase %</t>
        </is>
      </c>
      <c r="C10" s="12" t="n">
        <v>44</v>
      </c>
      <c r="D10" s="15" t="inlineStr"/>
      <c r="E10" s="13">
        <f>C10-D10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2026-10-24T11:13:41Z</dcterms:created>
  <dcterms:modified xmlns:dcterms="http://purl.org/dc/terms/" xmlns:xsi="http://www.w3.org/2001/XMLSchema-instance" xsi:type="dcterms:W3CDTF">2026-10-24T11:13:41Z</dcterms:modified>
</cp:coreProperties>
</file>