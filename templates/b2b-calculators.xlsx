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ttom-Up Sizing" sheetId="1" state="visible" r:id="rId1"/>
    <sheet xmlns:r="http://schemas.openxmlformats.org/officeDocument/2006/relationships" name="Economic Value and ROI" sheetId="2" state="visible" r:id="rId2"/>
    <sheet xmlns:r="http://schemas.openxmlformats.org/officeDocument/2006/relationships" name="Buying Committee" sheetId="3" state="visible" r:id="rId3"/>
    <sheet xmlns:r="http://schemas.openxmlformats.org/officeDocument/2006/relationships" name="Route to Mark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"/>
    <numFmt numFmtId="166" formatCode="0.0%"/>
    <numFmt numFmtId="167" formatCode="#,##0.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E8F0FE"/>
      </patternFill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2" borderId="1" pivotButton="0" quotePrefix="0" xfId="0"/>
    <xf numFmtId="164" fontId="0" fillId="2" borderId="1" pivotButton="0" quotePrefix="0" xfId="0"/>
    <xf numFmtId="165" fontId="0" fillId="3" borderId="1" pivotButton="0" quotePrefix="0" xfId="0"/>
    <xf numFmtId="166" fontId="0" fillId="2" borderId="1" pivotButton="0" quotePrefix="0" xfId="0"/>
    <xf numFmtId="165" fontId="0" fillId="2" borderId="1" pivotButton="0" quotePrefix="0" xfId="0"/>
    <xf numFmtId="166" fontId="0" fillId="3" borderId="1" pivotButton="0" quotePrefix="0" xfId="0"/>
    <xf numFmtId="167" fontId="0" fillId="3" borderId="1" pivotButton="0" quotePrefix="0" xfId="0"/>
    <xf numFmtId="0" fontId="4" fillId="4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Bottom-Up Sizing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Inputs</t>
        </is>
      </c>
    </row>
    <row r="5">
      <c r="A5" t="inlineStr">
        <is>
          <t>Units per customer</t>
        </is>
      </c>
      <c r="B5" s="4" t="n">
        <v>40</v>
      </c>
    </row>
    <row r="6">
      <c r="A6" t="inlineStr">
        <is>
          <t>Price per unit per year</t>
        </is>
      </c>
      <c r="B6" s="5" t="n">
        <v>900</v>
      </c>
    </row>
    <row r="7">
      <c r="A7" t="inlineStr">
        <is>
          <t>Customers you can reach</t>
        </is>
      </c>
      <c r="B7" s="4" t="n">
        <v>250</v>
      </c>
    </row>
    <row r="9">
      <c r="A9" s="3" t="inlineStr">
        <is>
          <t>Results</t>
        </is>
      </c>
    </row>
    <row r="10">
      <c r="A10" t="inlineStr">
        <is>
          <t>Opportunity per year</t>
        </is>
      </c>
      <c r="B10" s="6">
        <f>B5*B6*B7</f>
        <v/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Economic Value and ROI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Inputs</t>
        </is>
      </c>
    </row>
    <row r="5">
      <c r="A5" t="inlineStr">
        <is>
          <t>Hours of the problem per month</t>
        </is>
      </c>
      <c r="B5" s="4" t="n">
        <v>30</v>
      </c>
    </row>
    <row r="6">
      <c r="A6" t="inlineStr">
        <is>
          <t>Cost per hour</t>
        </is>
      </c>
      <c r="B6" s="5" t="n">
        <v>8000</v>
      </c>
    </row>
    <row r="7">
      <c r="A7" t="inlineStr">
        <is>
          <t>Reduction your product delivers (0-1)</t>
        </is>
      </c>
      <c r="B7" s="7" t="n">
        <v>0.4</v>
      </c>
    </row>
    <row r="8">
      <c r="A8" t="inlineStr">
        <is>
          <t>Your yearly cost to the customer</t>
        </is>
      </c>
      <c r="B8" s="8" t="n">
        <v>36000</v>
      </c>
    </row>
    <row r="9">
      <c r="A9" t="inlineStr">
        <is>
          <t>One-off setup cost</t>
        </is>
      </c>
      <c r="B9" s="8" t="n">
        <v>14000</v>
      </c>
    </row>
    <row r="10">
      <c r="A10" t="inlineStr">
        <is>
          <t>Months to reach full effect</t>
        </is>
      </c>
      <c r="B10" s="4" t="n">
        <v>6</v>
      </c>
    </row>
    <row r="12">
      <c r="A12" s="3" t="inlineStr">
        <is>
          <t>Results</t>
        </is>
      </c>
    </row>
    <row r="13">
      <c r="A13" t="inlineStr">
        <is>
          <t>Value per month at full effect</t>
        </is>
      </c>
      <c r="B13" s="6">
        <f>B5*B6*B7</f>
        <v/>
      </c>
    </row>
    <row r="14">
      <c r="A14" t="inlineStr">
        <is>
          <t>Year-one value, after ramp-up</t>
        </is>
      </c>
      <c r="B14" s="6">
        <f>B13*(12-B10/2)</f>
        <v/>
      </c>
    </row>
    <row r="15">
      <c r="A15" t="inlineStr">
        <is>
          <t>Year-one cost</t>
        </is>
      </c>
      <c r="B15" s="6">
        <f>B8+B9</f>
        <v/>
      </c>
    </row>
    <row r="16">
      <c r="A16" t="inlineStr">
        <is>
          <t>ROI (one year)</t>
        </is>
      </c>
      <c r="B16" s="9">
        <f>(B14-B15)/B15</f>
        <v/>
      </c>
    </row>
    <row r="17">
      <c r="A17" t="inlineStr">
        <is>
          <t>Payback at full effect (months)</t>
        </is>
      </c>
      <c r="B17" s="10">
        <f>B15/B13</f>
        <v/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Buying Committee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One row per person who can say yes or no.</t>
        </is>
      </c>
    </row>
    <row r="6">
      <c r="A6" s="11" t="inlineStr">
        <is>
          <t>Role</t>
        </is>
      </c>
      <c r="B6" s="11" t="inlineStr">
        <is>
          <t>Name</t>
        </is>
      </c>
      <c r="C6" s="11" t="inlineStr">
        <is>
          <t>Champion / economic / technical / user / other</t>
        </is>
      </c>
      <c r="D6" s="11" t="inlineStr">
        <is>
          <t>What they fear</t>
        </is>
      </c>
      <c r="E6" s="11" t="inlineStr">
        <is>
          <t>What they need</t>
        </is>
      </c>
      <c r="F6" s="11" t="inlineStr">
        <is>
          <t>Message and proof</t>
        </is>
      </c>
    </row>
    <row r="7">
      <c r="A7" s="12" t="inlineStr"/>
      <c r="B7" s="12" t="inlineStr"/>
      <c r="C7" s="12" t="inlineStr"/>
      <c r="D7" s="12" t="inlineStr"/>
      <c r="E7" s="12" t="inlineStr"/>
      <c r="F7" s="12" t="inlineStr"/>
    </row>
    <row r="8">
      <c r="A8" s="12" t="inlineStr"/>
      <c r="B8" s="12" t="inlineStr"/>
      <c r="C8" s="12" t="inlineStr"/>
      <c r="D8" s="12" t="inlineStr"/>
      <c r="E8" s="12" t="inlineStr"/>
      <c r="F8" s="12" t="inlineStr"/>
    </row>
    <row r="9">
      <c r="A9" s="12" t="inlineStr"/>
      <c r="B9" s="12" t="inlineStr"/>
      <c r="C9" s="12" t="inlineStr"/>
      <c r="D9" s="12" t="inlineStr"/>
      <c r="E9" s="12" t="inlineStr"/>
      <c r="F9" s="12" t="inlineStr"/>
    </row>
    <row r="10">
      <c r="A10" s="12" t="inlineStr"/>
      <c r="B10" s="12" t="inlineStr"/>
      <c r="C10" s="12" t="inlineStr"/>
      <c r="D10" s="12" t="inlineStr"/>
      <c r="E10" s="12" t="inlineStr"/>
      <c r="F10" s="12" t="inlineStr"/>
    </row>
    <row r="11">
      <c r="A11" s="12" t="inlineStr"/>
      <c r="B11" s="12" t="inlineStr"/>
      <c r="C11" s="12" t="inlineStr"/>
      <c r="D11" s="12" t="inlineStr"/>
      <c r="E11" s="12" t="inlineStr"/>
      <c r="F11" s="12" t="inlineStr"/>
    </row>
    <row r="12">
      <c r="A12" s="12" t="inlineStr"/>
      <c r="B12" s="12" t="inlineStr"/>
      <c r="C12" s="12" t="inlineStr"/>
      <c r="D12" s="12" t="inlineStr"/>
      <c r="E12" s="12" t="inlineStr"/>
      <c r="F12" s="12" t="inlineStr"/>
    </row>
    <row r="13">
      <c r="A13" s="12" t="inlineStr"/>
      <c r="B13" s="12" t="inlineStr"/>
      <c r="C13" s="12" t="inlineStr"/>
      <c r="D13" s="12" t="inlineStr"/>
      <c r="E13" s="12" t="inlineStr"/>
      <c r="F13" s="12" t="inlineStr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1" t="inlineStr">
        <is>
          <t>Route to Market</t>
        </is>
      </c>
    </row>
    <row r="2">
      <c r="A2" s="2" t="inlineStr">
        <is>
          <t>Yellow cells are inputs. Blue cells calculate. Replace the example numbers with your own.</t>
        </is>
      </c>
    </row>
    <row r="4">
      <c r="A4" s="3" t="inlineStr">
        <is>
          <t>One row per deal segment.</t>
        </is>
      </c>
    </row>
    <row r="6">
      <c r="A6" s="11" t="inlineStr">
        <is>
          <t>Deal segment</t>
        </is>
      </c>
      <c r="B6" s="11" t="inlineStr">
        <is>
          <t>Typical deal value</t>
        </is>
      </c>
      <c r="C6" s="11" t="inlineStr">
        <is>
          <t>People who must say yes</t>
        </is>
      </c>
      <c r="D6" s="11" t="inlineStr">
        <is>
          <t>Route</t>
        </is>
      </c>
      <c r="E6" s="11" t="inlineStr">
        <is>
          <t>Cost per deal</t>
        </is>
      </c>
      <c r="F6" s="11" t="inlineStr">
        <is>
          <t>Gross profit per deal</t>
        </is>
      </c>
      <c r="G6" s="11" t="inlineStr">
        <is>
          <t>Route pays?</t>
        </is>
      </c>
    </row>
    <row r="7">
      <c r="A7" s="12" t="inlineStr"/>
      <c r="B7" s="13" t="n">
        <v>0</v>
      </c>
      <c r="C7" s="12" t="inlineStr"/>
      <c r="D7" s="12" t="inlineStr"/>
      <c r="E7" s="13" t="n">
        <v>0</v>
      </c>
      <c r="F7" s="13" t="n">
        <v>0</v>
      </c>
      <c r="G7" s="14">
        <f>IF(F7&gt;E7,"yes","no")</f>
        <v/>
      </c>
    </row>
    <row r="8">
      <c r="A8" s="12" t="inlineStr"/>
      <c r="B8" s="13" t="n">
        <v>0</v>
      </c>
      <c r="C8" s="12" t="inlineStr"/>
      <c r="D8" s="12" t="inlineStr"/>
      <c r="E8" s="13" t="n">
        <v>0</v>
      </c>
      <c r="F8" s="13" t="n">
        <v>0</v>
      </c>
      <c r="G8" s="14">
        <f>IF(F8&gt;E8,"yes","no")</f>
        <v/>
      </c>
    </row>
    <row r="9">
      <c r="A9" s="12" t="inlineStr"/>
      <c r="B9" s="13" t="n">
        <v>0</v>
      </c>
      <c r="C9" s="12" t="inlineStr"/>
      <c r="D9" s="12" t="inlineStr"/>
      <c r="E9" s="13" t="n">
        <v>0</v>
      </c>
      <c r="F9" s="13" t="n">
        <v>0</v>
      </c>
      <c r="G9" s="14">
        <f>IF(F9&gt;E9,"yes","no")</f>
        <v/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2026-10-24T11:13:41Z</dcterms:created>
  <dcterms:modified xmlns:dcterms="http://purl.org/dc/terms/" xmlns:xsi="http://www.w3.org/2001/XMLSchema-instance" xsi:type="dcterms:W3CDTF">2026-10-24T11:13:41Z</dcterms:modified>
</cp:coreProperties>
</file>