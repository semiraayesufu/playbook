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 Margin" sheetId="1" state="visible" r:id="rId1"/>
    <sheet xmlns:r="http://schemas.openxmlformats.org/officeDocument/2006/relationships" name="Break-even" sheetId="2" state="visible" r:id="rId2"/>
    <sheet xmlns:r="http://schemas.openxmlformats.org/officeDocument/2006/relationships" name="DuPont" sheetId="3" state="visible" r:id="rId3"/>
    <sheet xmlns:r="http://schemas.openxmlformats.org/officeDocument/2006/relationships" name="NPV" sheetId="4" state="visible" r:id="rId4"/>
    <sheet xmlns:r="http://schemas.openxmlformats.org/officeDocument/2006/relationships" name="Debt Affordability" sheetId="5" state="visible" r:id="rId5"/>
    <sheet xmlns:r="http://schemas.openxmlformats.org/officeDocument/2006/relationships" name="Buyout Returns" sheetId="6" state="visible" r:id="rId6"/>
    <sheet xmlns:r="http://schemas.openxmlformats.org/officeDocument/2006/relationships" name="Dividend Discount" sheetId="7" state="visible" r:id="rId7"/>
    <sheet xmlns:r="http://schemas.openxmlformats.org/officeDocument/2006/relationships" name="Bond Spread" sheetId="8" state="visible" r:id="rId8"/>
    <sheet xmlns:r="http://schemas.openxmlformats.org/officeDocument/2006/relationships" name="Sharpe Rat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4" fontId="0" fillId="3" borderId="1" pivotButton="0" quotePrefix="0" xfId="0"/>
    <xf numFmtId="165" fontId="0" fillId="2" borderId="1" pivotButton="0" quotePrefix="0" xfId="0"/>
    <xf numFmtId="3" fontId="0" fillId="2" borderId="1" pivotButton="0" quotePrefix="0" xfId="0"/>
    <xf numFmtId="165" fontId="0" fillId="3" borderId="1" pivotButton="0" quotePrefix="0" xfId="0"/>
    <xf numFmtId="3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166" fontId="0" fillId="2" borderId="1" pivotButton="0" quotePrefix="0" xfId="0"/>
    <xf numFmtId="0" fontId="4" fillId="0" borderId="0" pivotButton="0" quotePrefix="0" xfId="0"/>
    <xf numFmtId="0" fontId="0" fillId="2" borderId="1" pivotButton="0" quotePrefix="0" xfId="0"/>
    <xf numFmtId="164" fontId="0" fillId="3" borderId="0" pivotButton="0" quotePrefix="0" xfId="0"/>
    <xf numFmtId="2" fontId="0" fillId="2" borderId="1" pivotButton="0" quotePrefix="0" xfId="0"/>
    <xf numFmtId="167" fontId="0" fillId="2" borderId="1" pivotButton="0" quotePrefix="0" xfId="0"/>
    <xf numFmtId="167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Contribution Margin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Sales</t>
        </is>
      </c>
      <c r="B5" s="4" t="n">
        <v>12000000</v>
      </c>
    </row>
    <row r="6">
      <c r="A6" t="inlineStr">
        <is>
          <t>Variable costs</t>
        </is>
      </c>
      <c r="B6" s="4" t="n">
        <v>7500000</v>
      </c>
    </row>
    <row r="7">
      <c r="A7" t="inlineStr">
        <is>
          <t>Fixed costs allocated to it</t>
        </is>
      </c>
      <c r="B7" s="4" t="n">
        <v>5200000</v>
      </c>
    </row>
    <row r="8">
      <c r="A8" t="inlineStr">
        <is>
          <t>Fixed costs that would disappear if cut</t>
        </is>
      </c>
      <c r="B8" s="4" t="n">
        <v>400000</v>
      </c>
    </row>
    <row r="10">
      <c r="A10" s="3" t="inlineStr">
        <is>
          <t>Results</t>
        </is>
      </c>
    </row>
    <row r="11">
      <c r="A11" t="inlineStr">
        <is>
          <t>Contribution</t>
        </is>
      </c>
      <c r="B11" s="5">
        <f>B5-B6</f>
        <v/>
      </c>
    </row>
    <row r="12">
      <c r="A12" t="inlineStr">
        <is>
          <t>Profit on paper</t>
        </is>
      </c>
      <c r="B12" s="5">
        <f>B11-B7</f>
        <v/>
      </c>
    </row>
    <row r="13">
      <c r="A13" t="inlineStr">
        <is>
          <t>Change in company profit if you cut it</t>
        </is>
      </c>
      <c r="B13" s="5">
        <f>B8-B11</f>
        <v/>
      </c>
      <c r="C13" s="2" t="inlineStr">
        <is>
          <t>negative means cutting it lowers profit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Break-even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Price per unit</t>
        </is>
      </c>
      <c r="B5" s="6" t="n">
        <v>4</v>
      </c>
    </row>
    <row r="6">
      <c r="A6" t="inlineStr">
        <is>
          <t>Variable cost per unit</t>
        </is>
      </c>
      <c r="B6" s="6" t="n">
        <v>2.4</v>
      </c>
    </row>
    <row r="7">
      <c r="A7" t="inlineStr">
        <is>
          <t>Fixed costs</t>
        </is>
      </c>
      <c r="B7" s="4" t="n">
        <v>2400000</v>
      </c>
    </row>
    <row r="8">
      <c r="A8" t="inlineStr">
        <is>
          <t>Forecast units</t>
        </is>
      </c>
      <c r="B8" s="7" t="n">
        <v>1200000</v>
      </c>
    </row>
    <row r="10">
      <c r="A10" s="3" t="inlineStr">
        <is>
          <t>Results</t>
        </is>
      </c>
    </row>
    <row r="11">
      <c r="A11" t="inlineStr">
        <is>
          <t>Contribution per unit</t>
        </is>
      </c>
      <c r="B11" s="8">
        <f>B5-B6</f>
        <v/>
      </c>
    </row>
    <row r="12">
      <c r="A12" t="inlineStr">
        <is>
          <t>Break-even units</t>
        </is>
      </c>
      <c r="B12" s="9">
        <f>B7/B11</f>
        <v/>
      </c>
    </row>
    <row r="13">
      <c r="A13" t="inlineStr">
        <is>
          <t>Gap to break-even (units)</t>
        </is>
      </c>
      <c r="B13" s="9">
        <f>B12-B8</f>
        <v/>
      </c>
      <c r="C13" s="2" t="inlineStr">
        <is>
          <t>positive means you are short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DuPont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Net income</t>
        </is>
      </c>
      <c r="B5" s="4" t="n">
        <v>30000000</v>
      </c>
    </row>
    <row r="6">
      <c r="A6" t="inlineStr">
        <is>
          <t>Revenue</t>
        </is>
      </c>
      <c r="B6" s="4" t="n">
        <v>600000000</v>
      </c>
    </row>
    <row r="7">
      <c r="A7" t="inlineStr">
        <is>
          <t>Total assets</t>
        </is>
      </c>
      <c r="B7" s="4" t="n">
        <v>400000000</v>
      </c>
    </row>
    <row r="8">
      <c r="A8" t="inlineStr">
        <is>
          <t>Equity</t>
        </is>
      </c>
      <c r="B8" s="4" t="n">
        <v>200000000</v>
      </c>
    </row>
    <row r="10">
      <c r="A10" s="3" t="inlineStr">
        <is>
          <t>Results</t>
        </is>
      </c>
    </row>
    <row r="11">
      <c r="A11" t="inlineStr">
        <is>
          <t>Profit margin</t>
        </is>
      </c>
      <c r="B11" s="10">
        <f>B5/B6</f>
        <v/>
      </c>
    </row>
    <row r="12">
      <c r="A12" t="inlineStr">
        <is>
          <t>Asset turnover</t>
        </is>
      </c>
      <c r="B12" s="11">
        <f>B6/B7</f>
        <v/>
      </c>
    </row>
    <row r="13">
      <c r="A13" t="inlineStr">
        <is>
          <t>Equity multiplier</t>
        </is>
      </c>
      <c r="B13" s="11">
        <f>B7/B8</f>
        <v/>
      </c>
    </row>
    <row r="14">
      <c r="A14" t="inlineStr">
        <is>
          <t>ROE</t>
        </is>
      </c>
      <c r="B14" s="10">
        <f>B11*B12*B13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NPV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Required return (0-1)</t>
        </is>
      </c>
      <c r="B5" s="12" t="n">
        <v>0.1</v>
      </c>
    </row>
    <row r="6">
      <c r="A6" t="inlineStr">
        <is>
          <t>Upfront cost (year 0)</t>
        </is>
      </c>
      <c r="B6" s="4" t="n">
        <v>50000000</v>
      </c>
    </row>
    <row r="8">
      <c r="A8" s="13" t="inlineStr">
        <is>
          <t>Year</t>
        </is>
      </c>
      <c r="B8" s="13" t="inlineStr">
        <is>
          <t>Cash in</t>
        </is>
      </c>
      <c r="C8" s="13" t="inlineStr">
        <is>
          <t>Present value</t>
        </is>
      </c>
    </row>
    <row r="9">
      <c r="A9" t="n">
        <v>1</v>
      </c>
      <c r="B9" s="14" t="n">
        <v>12000000</v>
      </c>
      <c r="C9" s="15">
        <f>B9/(1+$B$5)^A9</f>
        <v/>
      </c>
    </row>
    <row r="10">
      <c r="A10" t="n">
        <v>2</v>
      </c>
      <c r="B10" s="14" t="n">
        <v>12000000</v>
      </c>
      <c r="C10" s="15">
        <f>B10/(1+$B$5)^A10</f>
        <v/>
      </c>
    </row>
    <row r="11">
      <c r="A11" t="n">
        <v>3</v>
      </c>
      <c r="B11" s="14" t="n">
        <v>12000000</v>
      </c>
      <c r="C11" s="15">
        <f>B11/(1+$B$5)^A11</f>
        <v/>
      </c>
    </row>
    <row r="12">
      <c r="A12" t="n">
        <v>4</v>
      </c>
      <c r="B12" s="14" t="n">
        <v>12000000</v>
      </c>
      <c r="C12" s="15">
        <f>B12/(1+$B$5)^A12</f>
        <v/>
      </c>
    </row>
    <row r="13">
      <c r="A13" t="n">
        <v>5</v>
      </c>
      <c r="B13" s="14" t="n">
        <v>12000000</v>
      </c>
      <c r="C13" s="15">
        <f>B13/(1+$B$5)^A13</f>
        <v/>
      </c>
    </row>
    <row r="14">
      <c r="A14" t="n">
        <v>6</v>
      </c>
      <c r="B14" s="14" t="n">
        <v>12000000</v>
      </c>
      <c r="C14" s="15">
        <f>B14/(1+$B$5)^A14</f>
        <v/>
      </c>
    </row>
    <row r="15">
      <c r="A15" t="n">
        <v>7</v>
      </c>
      <c r="B15" s="14" t="n">
        <v>12000000</v>
      </c>
      <c r="C15" s="15">
        <f>B15/(1+$B$5)^A15</f>
        <v/>
      </c>
    </row>
    <row r="16">
      <c r="A16" t="n">
        <v>8</v>
      </c>
      <c r="B16" s="14" t="n">
        <v>0</v>
      </c>
      <c r="C16" s="15">
        <f>B16/(1+$B$5)^A16</f>
        <v/>
      </c>
    </row>
    <row r="17">
      <c r="A17" t="n">
        <v>9</v>
      </c>
      <c r="B17" s="14" t="n">
        <v>0</v>
      </c>
      <c r="C17" s="15">
        <f>B17/(1+$B$5)^A17</f>
        <v/>
      </c>
    </row>
    <row r="18">
      <c r="A18" t="n">
        <v>10</v>
      </c>
      <c r="B18" s="14" t="n">
        <v>0</v>
      </c>
      <c r="C18" s="15">
        <f>B18/(1+$B$5)^A18</f>
        <v/>
      </c>
    </row>
    <row r="20">
      <c r="A20" t="inlineStr">
        <is>
          <t>Present value of cash flows</t>
        </is>
      </c>
      <c r="B20" s="15">
        <f>SUM(C9:C18)</f>
        <v/>
      </c>
    </row>
    <row r="21">
      <c r="A21" t="inlineStr">
        <is>
          <t>NPV</t>
        </is>
      </c>
      <c r="B21" s="15">
        <f>B20-B6</f>
        <v/>
      </c>
    </row>
    <row r="23">
      <c r="A23" s="2" t="inlineStr">
        <is>
          <t>Sensitivity: change the two inputs above and read NPV. Positive creates value, negative destroys it.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Debt Affordability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Cash available for debt service (operating cash flow + interest paid)</t>
        </is>
      </c>
      <c r="B5" s="4" t="n">
        <v>45000000</v>
      </c>
    </row>
    <row r="6">
      <c r="A6" t="inlineStr">
        <is>
          <t>Existing yearly loan payments</t>
        </is>
      </c>
      <c r="B6" s="4" t="n">
        <v>20000000</v>
      </c>
    </row>
    <row r="7">
      <c r="A7" t="inlineStr">
        <is>
          <t>New loan yearly payments</t>
        </is>
      </c>
      <c r="B7" s="4" t="n">
        <v>8000000</v>
      </c>
    </row>
    <row r="8">
      <c r="A8" t="inlineStr">
        <is>
          <t>New loan payments if rates rise 1 point</t>
        </is>
      </c>
      <c r="B8" s="4" t="n">
        <v>8500000</v>
      </c>
    </row>
    <row r="9">
      <c r="A9" t="inlineStr">
        <is>
          <t>Cash available for debt service in a bad year</t>
        </is>
      </c>
      <c r="B9" s="4" t="n">
        <v>36000000</v>
      </c>
    </row>
    <row r="11">
      <c r="A11" s="3" t="inlineStr">
        <is>
          <t>Results</t>
        </is>
      </c>
    </row>
    <row r="12">
      <c r="A12" t="inlineStr">
        <is>
          <t>Coverage ratio</t>
        </is>
      </c>
      <c r="B12" s="11">
        <f>B5/(B6+B7)</f>
        <v/>
      </c>
      <c r="C12" s="2" t="inlineStr">
        <is>
          <t>above 1.25 comfortable, near 1 risky, below 1 cannot cover</t>
        </is>
      </c>
    </row>
    <row r="13">
      <c r="A13" t="inlineStr">
        <is>
          <t>Coverage with higher rates</t>
        </is>
      </c>
      <c r="B13" s="11">
        <f>B5/(B6+B8)</f>
        <v/>
      </c>
    </row>
    <row r="14">
      <c r="A14" t="inlineStr">
        <is>
          <t>Coverage in a bad year with higher rates</t>
        </is>
      </c>
      <c r="B14" s="11">
        <f>B9/(B6+B8)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Buyout Returns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Operating profit today</t>
        </is>
      </c>
      <c r="B5" s="4" t="n">
        <v>44000000</v>
      </c>
    </row>
    <row r="6">
      <c r="A6" t="inlineStr">
        <is>
          <t>Depreciation</t>
        </is>
      </c>
      <c r="B6" s="4" t="n">
        <v>5000000</v>
      </c>
    </row>
    <row r="7">
      <c r="A7" t="inlineStr">
        <is>
          <t>Amortisation</t>
        </is>
      </c>
      <c r="B7" s="4" t="n">
        <v>1000000</v>
      </c>
    </row>
    <row r="8">
      <c r="A8" t="inlineStr">
        <is>
          <t>Entry multiple (× EBITDA)</t>
        </is>
      </c>
      <c r="B8" s="16" t="n">
        <v>8</v>
      </c>
    </row>
    <row r="9">
      <c r="A9" t="inlineStr">
        <is>
          <t>Cash investors put in, including deal fees</t>
        </is>
      </c>
      <c r="B9" s="4" t="n">
        <v>160000000</v>
      </c>
    </row>
    <row r="10">
      <c r="A10" t="inlineStr">
        <is>
          <t>Year-5 EBITDA</t>
        </is>
      </c>
      <c r="B10" s="4" t="n">
        <v>70000000</v>
      </c>
    </row>
    <row r="11">
      <c r="A11" t="inlineStr">
        <is>
          <t>Exit multiple</t>
        </is>
      </c>
      <c r="B11" s="16" t="n">
        <v>8</v>
      </c>
    </row>
    <row r="12">
      <c r="A12" t="inlineStr">
        <is>
          <t>Net debt at exit</t>
        </is>
      </c>
      <c r="B12" s="4" t="n">
        <v>170000000</v>
      </c>
    </row>
    <row r="14">
      <c r="A14" s="3" t="inlineStr">
        <is>
          <t>Results</t>
        </is>
      </c>
    </row>
    <row r="15">
      <c r="A15" t="inlineStr">
        <is>
          <t>EBITDA today</t>
        </is>
      </c>
      <c r="B15" s="5">
        <f>B5+B6+B7</f>
        <v/>
      </c>
    </row>
    <row r="16">
      <c r="A16" t="inlineStr">
        <is>
          <t>Enterprise value at entry</t>
        </is>
      </c>
      <c r="B16" s="5">
        <f>B15*B8</f>
        <v/>
      </c>
    </row>
    <row r="17">
      <c r="A17" t="inlineStr">
        <is>
          <t>Exit value</t>
        </is>
      </c>
      <c r="B17" s="5">
        <f>B10*B11</f>
        <v/>
      </c>
    </row>
    <row r="18">
      <c r="A18" t="inlineStr">
        <is>
          <t>Exit equity</t>
        </is>
      </c>
      <c r="B18" s="5">
        <f>B17-B12</f>
        <v/>
      </c>
    </row>
    <row r="19">
      <c r="A19" t="inlineStr">
        <is>
          <t>Money multiple</t>
        </is>
      </c>
      <c r="B19" s="11">
        <f>B18/B9</f>
        <v/>
      </c>
      <c r="C19" s="2" t="inlineStr">
        <is>
          <t>2 to 3 × over five years is the usual target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Dividend Discount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Next year's dividend per share</t>
        </is>
      </c>
      <c r="B5" s="6" t="n">
        <v>1.2</v>
      </c>
    </row>
    <row r="6">
      <c r="A6" t="inlineStr">
        <is>
          <t>Cost of equity (0-1)</t>
        </is>
      </c>
      <c r="B6" s="12" t="n">
        <v>0.09</v>
      </c>
    </row>
    <row r="7">
      <c r="A7" t="inlineStr">
        <is>
          <t>Dividend growth (0-1)</t>
        </is>
      </c>
      <c r="B7" s="12" t="n">
        <v>0.04</v>
      </c>
    </row>
    <row r="8">
      <c r="A8" t="inlineStr">
        <is>
          <t>Today's share price</t>
        </is>
      </c>
      <c r="B8" s="6" t="n">
        <v>28</v>
      </c>
    </row>
    <row r="10">
      <c r="A10" s="3" t="inlineStr">
        <is>
          <t>Results</t>
        </is>
      </c>
    </row>
    <row r="11">
      <c r="A11" t="inlineStr">
        <is>
          <t>Value per share</t>
        </is>
      </c>
      <c r="B11" s="8">
        <f>B5/(B6-B7)</f>
        <v/>
      </c>
    </row>
    <row r="12">
      <c r="A12" t="inlineStr">
        <is>
          <t>Value at growth +1 point</t>
        </is>
      </c>
      <c r="B12" s="8">
        <f>B5/(B6-(B7+0.01))</f>
        <v/>
      </c>
    </row>
    <row r="13">
      <c r="A13" t="inlineStr">
        <is>
          <t>Value at growth −1 point</t>
        </is>
      </c>
      <c r="B13" s="8">
        <f>B5/(B6-(B7-0.01))</f>
        <v/>
      </c>
    </row>
    <row r="14">
      <c r="A14" t="inlineStr">
        <is>
          <t>Value ÷ price</t>
        </is>
      </c>
      <c r="B14" s="11">
        <f>B11/B8</f>
        <v/>
      </c>
      <c r="C14" s="2" t="inlineStr">
        <is>
          <t>above 1 may be underpriced, below 1 may be overpriced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Bond Spread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Bond yield to maturity (%)</t>
        </is>
      </c>
      <c r="B5" s="17" t="n">
        <v>5.9</v>
      </c>
    </row>
    <row r="6">
      <c r="A6" t="inlineStr">
        <is>
          <t>Treasury yield, same maturity (%)</t>
        </is>
      </c>
      <c r="B6" s="17" t="n">
        <v>4.2</v>
      </c>
    </row>
    <row r="7">
      <c r="A7" t="inlineStr">
        <is>
          <t>Average spread for this rating (%)</t>
        </is>
      </c>
      <c r="B7" s="17" t="n">
        <v>1.3</v>
      </c>
    </row>
    <row r="9">
      <c r="A9" s="3" t="inlineStr">
        <is>
          <t>Results</t>
        </is>
      </c>
    </row>
    <row r="10">
      <c r="A10" t="inlineStr">
        <is>
          <t>Spread (points)</t>
        </is>
      </c>
      <c r="B10" s="18">
        <f>B5-B6</f>
        <v/>
      </c>
    </row>
    <row r="11">
      <c r="A11" t="inlineStr">
        <is>
          <t>Spread against rating peers (points)</t>
        </is>
      </c>
      <c r="B11" s="18">
        <f>B10-B7</f>
        <v/>
      </c>
      <c r="C11" s="2" t="inlineStr">
        <is>
          <t>wider means a bargain or a risk the market sees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Sharpe Ratio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Portfolio return (%)</t>
        </is>
      </c>
      <c r="B5" s="17" t="n">
        <v>9</v>
      </c>
    </row>
    <row r="6">
      <c r="A6" t="inlineStr">
        <is>
          <t>Risk-free rate (%)</t>
        </is>
      </c>
      <c r="B6" s="17" t="n">
        <v>4</v>
      </c>
    </row>
    <row r="7">
      <c r="A7" t="inlineStr">
        <is>
          <t>Volatility (%)</t>
        </is>
      </c>
      <c r="B7" s="17" t="n">
        <v>10</v>
      </c>
    </row>
    <row r="8">
      <c r="A8" t="inlineStr">
        <is>
          <t>Benchmark return (%)</t>
        </is>
      </c>
      <c r="B8" s="17" t="n">
        <v>11</v>
      </c>
    </row>
    <row r="9">
      <c r="A9" t="inlineStr">
        <is>
          <t>Benchmark volatility (%)</t>
        </is>
      </c>
      <c r="B9" s="17" t="n">
        <v>16</v>
      </c>
    </row>
    <row r="11">
      <c r="A11" s="3" t="inlineStr">
        <is>
          <t>Results</t>
        </is>
      </c>
    </row>
    <row r="12">
      <c r="A12" t="inlineStr">
        <is>
          <t>Portfolio Sharpe</t>
        </is>
      </c>
      <c r="B12" s="11">
        <f>(B5-B6)/B7</f>
        <v/>
      </c>
    </row>
    <row r="13">
      <c r="A13" t="inlineStr">
        <is>
          <t>Benchmark Sharpe</t>
        </is>
      </c>
      <c r="B13" s="11">
        <f>(B8-B6)/B9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2026-10-24T11:25:10Z</dcterms:created>
  <dcterms:modified xmlns:dcterms="http://purl.org/dc/terms/" xmlns:xsi="http://www.w3.org/2001/XMLSchema-instance" xsi:type="dcterms:W3CDTF">2026-10-24T11:25:10Z</dcterms:modified>
</cp:coreProperties>
</file>